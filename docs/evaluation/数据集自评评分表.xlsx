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元信息完整度自评" sheetId="2" state="visible" r:id="rId2"/>
    <sheet xmlns:r="http://schemas.openxmlformats.org/officeDocument/2006/relationships" name="单文件QC分布" sheetId="3" state="visible" r:id="rId3"/>
    <sheet xmlns:r="http://schemas.openxmlformats.org/officeDocument/2006/relationships" name="综合评级计算" sheetId="4" state="visible" r:id="rId4"/>
    <sheet xmlns:r="http://schemas.openxmlformats.org/officeDocument/2006/relationships" name="评级标准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i val="1"/>
      <color rgb="00666666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E75B6"/>
      <sz val="12"/>
    </font>
    <font>
      <name val="Microsoft YaHei"/>
      <b val="1"/>
      <color rgb="00FFFFFF"/>
      <sz val="10"/>
    </font>
    <font>
      <name val="Microsoft YaHei"/>
      <b val="1"/>
      <color rgb="001F4E79"/>
      <sz val="10"/>
    </font>
    <font>
      <name val="Microsoft YaHe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0F8FF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28" customWidth="1" min="4" max="4"/>
  </cols>
  <sheetData>
    <row r="1">
      <c r="A1" s="1" t="inlineStr">
        <is>
          <t>总体数据集自评评分表</t>
        </is>
      </c>
    </row>
    <row r="2">
      <c r="A2" s="2" t="inlineStr">
        <is>
          <t>填写所有 Sheet 后，综合评级自动计算</t>
        </is>
      </c>
    </row>
    <row r="4">
      <c r="A4" s="3" t="inlineStr">
        <is>
          <t>项目名称</t>
        </is>
      </c>
      <c r="B4" s="4" t="inlineStr"/>
      <c r="C4" s="5" t="inlineStr"/>
      <c r="D4" s="6" t="inlineStr">
        <is>
          <t>项目唯一标识</t>
        </is>
      </c>
    </row>
    <row r="5">
      <c r="A5" s="3" t="inlineStr">
        <is>
          <t>数据类型</t>
        </is>
      </c>
      <c r="B5" s="4" t="inlineStr"/>
      <c r="C5" s="5" t="inlineStr">
        <is>
          <t>scRNA-seq / snRNA-seq / scATAC-seq / spatial-transcriptomics</t>
        </is>
      </c>
      <c r="D5" s="6" t="inlineStr">
        <is>
          <t>可多选，用逗号分隔</t>
        </is>
      </c>
    </row>
    <row r="6">
      <c r="A6" s="3" t="inlineStr">
        <is>
          <t>总样本数</t>
        </is>
      </c>
      <c r="B6" s="4" t="inlineStr"/>
      <c r="C6" s="5" t="inlineStr"/>
      <c r="D6" s="6" t="inlineStr">
        <is>
          <t>递交的样本文件总数</t>
        </is>
      </c>
    </row>
    <row r="7">
      <c r="A7" s="3" t="inlineStr">
        <is>
          <t>总有效细胞/Spot数</t>
        </is>
      </c>
      <c r="B7" s="4" t="inlineStr"/>
      <c r="C7" s="5" t="inlineStr"/>
      <c r="D7" s="6" t="inlineStr">
        <is>
          <t>所有1-3级文件的有效细胞/Spot数之和</t>
        </is>
      </c>
    </row>
    <row r="8">
      <c r="A8" s="3" t="inlineStr">
        <is>
          <t>项目负责人</t>
        </is>
      </c>
      <c r="B8" s="4" t="inlineStr"/>
      <c r="C8" s="5" t="inlineStr"/>
      <c r="D8" s="6" t="inlineStr"/>
    </row>
    <row r="9">
      <c r="A9" s="3" t="inlineStr">
        <is>
          <t>递交日期</t>
        </is>
      </c>
      <c r="B9" s="4" t="inlineStr"/>
      <c r="C9" s="5" t="inlineStr"/>
      <c r="D9" s="6" t="inlineStr">
        <is>
          <t>YYYY-MM-DD</t>
        </is>
      </c>
    </row>
    <row r="12">
      <c r="A12" s="7" t="inlineStr">
        <is>
          <t>▼ 项目级统计（选填，用于更精确的评估）</t>
        </is>
      </c>
    </row>
    <row r="13">
      <c r="A13" s="8" t="inlineStr">
        <is>
          <t>字段名</t>
        </is>
      </c>
      <c r="B13" s="8" t="inlineStr">
        <is>
          <t>单位</t>
        </is>
      </c>
      <c r="C13" s="8" t="inlineStr">
        <is>
          <t>说明</t>
        </is>
      </c>
      <c r="D13" s="8" t="inlineStr">
        <is>
          <t>填写值</t>
        </is>
      </c>
    </row>
    <row r="14">
      <c r="A14" s="9" t="inlineStr">
        <is>
          <t>project_total_cells/spots</t>
        </is>
      </c>
      <c r="B14" s="10" t="inlineStr">
        <is>
          <t>个</t>
        </is>
      </c>
      <c r="C14" s="11" t="inlineStr">
        <is>
          <t>项目总有效细胞/Spot数（1-3级文件求和）</t>
        </is>
      </c>
      <c r="D14" s="4" t="inlineStr"/>
    </row>
    <row r="15">
      <c r="A15" s="9" t="inlineStr">
        <is>
          <t>project_avg_score</t>
        </is>
      </c>
      <c r="B15" s="10" t="inlineStr">
        <is>
          <t>分</t>
        </is>
      </c>
      <c r="C15" s="11" t="inlineStr">
        <is>
          <t>单文件QC分数算术平均值</t>
        </is>
      </c>
      <c r="D15" s="4" t="inlineStr"/>
    </row>
    <row r="16">
      <c r="A16" s="9" t="inlineStr">
        <is>
          <t>qc_consistency (SD)</t>
        </is>
      </c>
      <c r="B16" s="10" t="inlineStr"/>
      <c r="C16" s="11" t="inlineStr">
        <is>
          <t>单文件得分标准差，越小一致性越高</t>
        </is>
      </c>
      <c r="D16" s="4" t="inlineStr"/>
    </row>
    <row r="17">
      <c r="A17" s="9" t="inlineStr">
        <is>
          <t>project_meta_integrity</t>
        </is>
      </c>
      <c r="B17" s="10" t="inlineStr">
        <is>
          <t>%</t>
        </is>
      </c>
      <c r="C17" s="11" t="inlineStr">
        <is>
          <t>元信息完整度均值</t>
        </is>
      </c>
      <c r="D17" s="4" t="inlineStr"/>
    </row>
    <row r="19">
      <c r="A19" s="7" t="inlineStr">
        <is>
          <t>空间转录组特有统计（Spatial 项目填写）</t>
        </is>
      </c>
    </row>
    <row r="20">
      <c r="A20" s="8" t="inlineStr">
        <is>
          <t>字段名</t>
        </is>
      </c>
      <c r="B20" s="8" t="inlineStr">
        <is>
          <t>单位</t>
        </is>
      </c>
      <c r="C20" s="8" t="inlineStr">
        <is>
          <t>说明</t>
        </is>
      </c>
      <c r="D20" s="8" t="inlineStr">
        <is>
          <t>填写值</t>
        </is>
      </c>
    </row>
    <row r="21">
      <c r="A21" s="9" t="inlineStr">
        <is>
          <t>avg_spatial_resolution</t>
        </is>
      </c>
      <c r="B21" s="10" t="inlineStr">
        <is>
          <t>μm/px</t>
        </is>
      </c>
      <c r="C21" s="11" t="inlineStr">
        <is>
          <t>平均空间分辨率</t>
        </is>
      </c>
      <c r="D21" s="4" t="inlineStr"/>
    </row>
    <row r="22">
      <c r="A22" s="9" t="inlineStr">
        <is>
          <t>avg_tissue_coverage</t>
        </is>
      </c>
      <c r="B22" s="10" t="inlineStr">
        <is>
          <t>%</t>
        </is>
      </c>
      <c r="C22" s="11" t="inlineStr">
        <is>
          <t>平均组织覆盖率</t>
        </is>
      </c>
      <c r="D22" s="4" t="inlineStr"/>
    </row>
    <row r="23">
      <c r="A23" s="9" t="inlineStr">
        <is>
          <t>avg_spot_uniformity</t>
        </is>
      </c>
      <c r="B23" s="10" t="inlineStr"/>
      <c r="C23" s="11" t="inlineStr">
        <is>
          <t>平均Spot均匀性（1-5分）</t>
        </is>
      </c>
      <c r="D23" s="4" t="inlineStr"/>
    </row>
    <row r="24">
      <c r="A24" s="9" t="inlineStr">
        <is>
          <t>avg_mean_genes_per_spot</t>
        </is>
      </c>
      <c r="B24" s="10" t="inlineStr">
        <is>
          <t>个</t>
        </is>
      </c>
      <c r="C24" s="11" t="inlineStr">
        <is>
          <t>平均每Spot基因数</t>
        </is>
      </c>
      <c r="D24" s="4" t="inlineStr"/>
    </row>
    <row r="25">
      <c r="A25" s="9" t="inlineStr">
        <is>
          <t>avg_mean_umi_per_spot</t>
        </is>
      </c>
      <c r="B25" s="10" t="inlineStr">
        <is>
          <t>个</t>
        </is>
      </c>
      <c r="C25" s="11" t="inlineStr">
        <is>
          <t>平均每Spot UMI数</t>
        </is>
      </c>
      <c r="D25" s="4" t="inlineStr"/>
    </row>
  </sheetData>
  <mergeCells count="4">
    <mergeCell ref="A1:D1"/>
    <mergeCell ref="A12:D12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18" customWidth="1" min="4" max="4"/>
  </cols>
  <sheetData>
    <row r="1">
      <c r="A1" s="1" t="inlineStr">
        <is>
          <t>元信息完整度自评 — 检查每个字段是否已填报</t>
        </is>
      </c>
    </row>
    <row r="2">
      <c r="A2" s="2" t="inlineStr">
        <is>
          <t>在"已填报"列标记 ✓ 或 ✗，系统自动计算完整度</t>
        </is>
      </c>
    </row>
    <row r="4">
      <c r="A4" s="7" t="inlineStr">
        <is>
          <t>◆ 核心字段（5项 — 决定数据是否有基本生物学价值）</t>
        </is>
      </c>
    </row>
    <row r="5">
      <c r="A5" s="8" t="inlineStr">
        <is>
          <t>#</t>
        </is>
      </c>
      <c r="B5" s="8" t="inlineStr">
        <is>
          <t>字段</t>
        </is>
      </c>
      <c r="C5" s="8" t="inlineStr">
        <is>
          <t>说明</t>
        </is>
      </c>
      <c r="D5" s="8" t="inlineStr">
        <is>
          <t>已填报(✓/✗)</t>
        </is>
      </c>
    </row>
    <row r="6">
      <c r="A6" s="10" t="inlineStr">
        <is>
          <t>1</t>
        </is>
      </c>
      <c r="B6" s="9" t="inlineStr">
        <is>
          <t>organism_taxid</t>
        </is>
      </c>
      <c r="C6" s="11" t="inlineStr">
        <is>
          <t>物种TaxID（9606/10090等）</t>
        </is>
      </c>
      <c r="D6" s="12" t="inlineStr"/>
    </row>
    <row r="7">
      <c r="A7" s="10" t="inlineStr">
        <is>
          <t>2</t>
        </is>
      </c>
      <c r="B7" s="9" t="inlineStr">
        <is>
          <t>tissue / tissue_ontology_term_id</t>
        </is>
      </c>
      <c r="C7" s="11" t="inlineStr">
        <is>
          <t>组织名称及UBERON ID</t>
        </is>
      </c>
      <c r="D7" s="12" t="inlineStr"/>
    </row>
    <row r="8">
      <c r="A8" s="10" t="inlineStr">
        <is>
          <t>3</t>
        </is>
      </c>
      <c r="B8" s="9" t="inlineStr">
        <is>
          <t>disease / disease_ontology_term_id</t>
        </is>
      </c>
      <c r="C8" s="11" t="inlineStr">
        <is>
          <t>疾病状态及MONDO ID</t>
        </is>
      </c>
      <c r="D8" s="12" t="inlineStr"/>
    </row>
    <row r="9">
      <c r="A9" s="10" t="inlineStr">
        <is>
          <t>4</t>
        </is>
      </c>
      <c r="B9" s="9" t="inlineStr">
        <is>
          <t>sex</t>
        </is>
      </c>
      <c r="C9" s="11" t="inlineStr">
        <is>
          <t>性别（male/female/unknown）</t>
        </is>
      </c>
      <c r="D9" s="12" t="inlineStr"/>
    </row>
    <row r="10">
      <c r="A10" s="10" t="inlineStr">
        <is>
          <t>5</t>
        </is>
      </c>
      <c r="B10" s="9" t="inlineStr">
        <is>
          <t>development_stage / ontology_id</t>
        </is>
      </c>
      <c r="C10" s="11" t="inlineStr">
        <is>
          <t>发育阶段及本体论ID</t>
        </is>
      </c>
      <c r="D10" s="12" t="inlineStr"/>
    </row>
    <row r="11">
      <c r="A11" s="13" t="inlineStr"/>
      <c r="B11" s="3" t="inlineStr">
        <is>
          <t>核心字段已填数</t>
        </is>
      </c>
      <c r="C11" s="5">
        <f> 已填 ✓ 的个数（自动统计）</f>
        <v/>
      </c>
      <c r="D11" s="14">
        <f>COUNTIF(D5:D9,"✓")</f>
        <v/>
      </c>
    </row>
    <row r="12">
      <c r="A12" s="13" t="inlineStr"/>
      <c r="B12" s="3" t="inlineStr">
        <is>
          <t>核心完整度</t>
        </is>
      </c>
      <c r="C12" s="5">
        <f> 已填数 ÷ 5 × 100%</f>
        <v/>
      </c>
      <c r="D12" s="15">
        <f>D10/5</f>
        <v/>
      </c>
    </row>
    <row r="14">
      <c r="A14" s="7" t="inlineStr">
        <is>
          <t>◆ 推荐字段（16项 — 决定数据是否"好用"）</t>
        </is>
      </c>
    </row>
    <row r="15">
      <c r="A15" s="8" t="inlineStr">
        <is>
          <t>#</t>
        </is>
      </c>
      <c r="B15" s="8" t="inlineStr">
        <is>
          <t>字段</t>
        </is>
      </c>
      <c r="C15" s="8" t="inlineStr">
        <is>
          <t>说明</t>
        </is>
      </c>
      <c r="D15" s="8" t="inlineStr">
        <is>
          <t>已填报(✓/✗)</t>
        </is>
      </c>
    </row>
    <row r="16">
      <c r="A16" s="16" t="inlineStr">
        <is>
          <t>【管理属性】</t>
        </is>
      </c>
    </row>
    <row r="17">
      <c r="A17" s="10" t="inlineStr"/>
      <c r="B17" s="9" t="inlineStr">
        <is>
          <t>title</t>
        </is>
      </c>
      <c r="C17" s="11" t="inlineStr">
        <is>
          <t>数据集标题</t>
        </is>
      </c>
      <c r="D17" s="12" t="inlineStr"/>
    </row>
    <row r="18">
      <c r="A18" s="10" t="inlineStr"/>
      <c r="B18" s="9" t="inlineStr">
        <is>
          <t>summary</t>
        </is>
      </c>
      <c r="C18" s="11" t="inlineStr">
        <is>
          <t>数据集详细描述</t>
        </is>
      </c>
      <c r="D18" s="12" t="inlineStr"/>
    </row>
    <row r="19">
      <c r="A19" s="10" t="inlineStr"/>
      <c r="B19" s="9" t="inlineStr">
        <is>
          <t>contributors</t>
        </is>
      </c>
      <c r="C19" s="11" t="inlineStr">
        <is>
          <t>递交者姓名</t>
        </is>
      </c>
      <c r="D19" s="12" t="inlineStr"/>
    </row>
    <row r="20">
      <c r="A20" s="10" t="inlineStr"/>
      <c r="B20" s="9" t="inlineStr">
        <is>
          <t>reference</t>
        </is>
      </c>
      <c r="C20" s="11" t="inlineStr">
        <is>
          <t>文献DOI号</t>
        </is>
      </c>
      <c r="D20" s="12" t="inlineStr"/>
    </row>
    <row r="21">
      <c r="A21" s="16" t="inlineStr">
        <is>
          <t>【样本属性】</t>
        </is>
      </c>
    </row>
    <row r="22">
      <c r="A22" s="10" t="inlineStr"/>
      <c r="B22" s="9" t="inlineStr">
        <is>
          <t>sample_name</t>
        </is>
      </c>
      <c r="C22" s="11" t="inlineStr">
        <is>
          <t>样本唯一标识符</t>
        </is>
      </c>
      <c r="D22" s="12" t="inlineStr"/>
    </row>
    <row r="23">
      <c r="A23" s="10" t="inlineStr"/>
      <c r="B23" s="9" t="inlineStr">
        <is>
          <t>donor_name</t>
        </is>
      </c>
      <c r="C23" s="11" t="inlineStr">
        <is>
          <t>供体/个体名称</t>
        </is>
      </c>
      <c r="D23" s="12" t="inlineStr"/>
    </row>
    <row r="24">
      <c r="A24" s="16" t="inlineStr">
        <is>
          <t>【实验属性】</t>
        </is>
      </c>
    </row>
    <row r="25">
      <c r="A25" s="10" t="inlineStr"/>
      <c r="B25" s="9" t="inlineStr">
        <is>
          <t>library_strategy</t>
        </is>
      </c>
      <c r="C25" s="11" t="inlineStr">
        <is>
          <t>实验类型（scRNA-seq等）</t>
        </is>
      </c>
      <c r="D25" s="12" t="inlineStr"/>
    </row>
    <row r="26">
      <c r="A26" s="10" t="inlineStr"/>
      <c r="B26" s="9" t="inlineStr">
        <is>
          <t>library_construction_method</t>
        </is>
      </c>
      <c r="C26" s="11" t="inlineStr">
        <is>
          <t>文库构建方法</t>
        </is>
      </c>
      <c r="D26" s="12" t="inlineStr"/>
    </row>
    <row r="27">
      <c r="A27" s="10" t="inlineStr"/>
      <c r="B27" s="9" t="inlineStr">
        <is>
          <t>sequenced_fragment</t>
        </is>
      </c>
      <c r="C27" s="11" t="inlineStr">
        <is>
          <t>测序片段类型</t>
        </is>
      </c>
      <c r="D27" s="12" t="inlineStr"/>
    </row>
    <row r="28">
      <c r="A28" s="10" t="inlineStr"/>
      <c r="B28" s="9" t="inlineStr">
        <is>
          <t>tissue_type</t>
        </is>
      </c>
      <c r="C28" s="11" t="inlineStr">
        <is>
          <t>组织类型（tissue/organoid等）</t>
        </is>
      </c>
      <c r="D28" s="12" t="inlineStr"/>
    </row>
    <row r="29">
      <c r="A29" s="16" t="inlineStr">
        <is>
          <t>【生信属性】</t>
        </is>
      </c>
    </row>
    <row r="30">
      <c r="A30" s="10" t="inlineStr"/>
      <c r="B30" s="9" t="inlineStr">
        <is>
          <t>reference_genome</t>
        </is>
      </c>
      <c r="C30" s="11" t="inlineStr">
        <is>
          <t>参考基因组版本</t>
        </is>
      </c>
      <c r="D30" s="12" t="inlineStr"/>
    </row>
    <row r="31">
      <c r="A31" s="10" t="inlineStr"/>
      <c r="B31" s="9" t="inlineStr">
        <is>
          <t>gene_annotation_version</t>
        </is>
      </c>
      <c r="C31" s="11" t="inlineStr">
        <is>
          <t>基因注释版本</t>
        </is>
      </c>
      <c r="D31" s="12" t="inlineStr"/>
    </row>
    <row r="32">
      <c r="A32" s="16" t="inlineStr">
        <is>
          <t>【文件与结构属性】</t>
        </is>
      </c>
    </row>
    <row r="33">
      <c r="A33" s="10" t="inlineStr"/>
      <c r="B33" s="9" t="inlineStr">
        <is>
          <t>raw_matrix_file</t>
        </is>
      </c>
      <c r="C33" s="11" t="inlineStr">
        <is>
          <t>原始矩阵文件</t>
        </is>
      </c>
      <c r="D33" s="12" t="inlineStr"/>
    </row>
    <row r="34">
      <c r="A34" s="10" t="inlineStr"/>
      <c r="B34" s="9" t="inlineStr">
        <is>
          <t>processed_file</t>
        </is>
      </c>
      <c r="C34" s="11" t="inlineStr">
        <is>
          <t>分析后文件（可选）</t>
        </is>
      </c>
      <c r="D34" s="12" t="inlineStr"/>
    </row>
    <row r="35">
      <c r="A35" s="10" t="inlineStr"/>
      <c r="B35" s="9" t="inlineStr">
        <is>
          <t>obs_cell_type_column</t>
        </is>
      </c>
      <c r="C35" s="11" t="inlineStr">
        <is>
          <t>细胞类型注释列名</t>
        </is>
      </c>
      <c r="D35" s="12" t="inlineStr"/>
    </row>
    <row r="36">
      <c r="A36" s="10" t="inlineStr"/>
      <c r="B36" s="9" t="inlineStr">
        <is>
          <t>obsm_embedding_key</t>
        </is>
      </c>
      <c r="C36" s="11" t="inlineStr">
        <is>
          <t>降维坐标键名</t>
        </is>
      </c>
      <c r="D36" s="12" t="inlineStr"/>
    </row>
    <row r="37">
      <c r="A37" s="13" t="inlineStr"/>
      <c r="B37" s="3" t="inlineStr">
        <is>
          <t>推荐字段已填数</t>
        </is>
      </c>
      <c r="C37" s="5">
        <f> 已填 ✓ 的个数（不含分组标题行）</f>
        <v/>
      </c>
      <c r="D37" s="14">
        <f>COUNTA(D21:D36)</f>
        <v/>
      </c>
    </row>
    <row r="38">
      <c r="A38" s="13" t="inlineStr"/>
      <c r="B38" s="3" t="inlineStr">
        <is>
          <t>辅助完整度</t>
        </is>
      </c>
      <c r="C38" s="5">
        <f> 已填数 ÷ 16 × 100%</f>
        <v/>
      </c>
      <c r="D38" s="15">
        <f>D37/16</f>
        <v/>
      </c>
    </row>
    <row r="40">
      <c r="A40" s="7" t="inlineStr">
        <is>
          <t>▼ 元信息评级结果</t>
        </is>
      </c>
    </row>
    <row r="41">
      <c r="A41" s="8" t="inlineStr">
        <is>
          <t>指标</t>
        </is>
      </c>
      <c r="B41" s="8" t="inlineStr">
        <is>
          <t>数值</t>
        </is>
      </c>
      <c r="C41" s="8" t="inlineStr"/>
      <c r="D41" s="8" t="inlineStr">
        <is>
          <t>结果</t>
        </is>
      </c>
    </row>
    <row r="42">
      <c r="A42" s="9" t="inlineStr">
        <is>
          <t>核心完整度</t>
        </is>
      </c>
      <c r="B42" s="15">
        <f>D12</f>
        <v/>
      </c>
      <c r="C42" s="6" t="inlineStr">
        <is>
          <t>≥50% 通过</t>
        </is>
      </c>
      <c r="D42" s="12" t="inlineStr"/>
    </row>
    <row r="43">
      <c r="A43" s="9" t="inlineStr">
        <is>
          <t>辅助完整度</t>
        </is>
      </c>
      <c r="B43" s="15">
        <f>D38</f>
        <v/>
      </c>
      <c r="C43" s="6" t="inlineStr">
        <is>
          <t>≥70% 为优</t>
        </is>
      </c>
      <c r="D43" s="12" t="inlineStr"/>
    </row>
    <row r="44">
      <c r="A44" s="9" t="inlineStr">
        <is>
          <t>元信息评级</t>
        </is>
      </c>
      <c r="B44" s="14" t="inlineStr"/>
      <c r="C44" s="6" t="inlineStr">
        <is>
          <t>优:核心=100%且辅助≥70%；良:核心≥50%；差:核心&lt;50%</t>
        </is>
      </c>
      <c r="D44" s="12" t="inlineStr"/>
    </row>
  </sheetData>
  <mergeCells count="9">
    <mergeCell ref="A1:D1"/>
    <mergeCell ref="A40:D40"/>
    <mergeCell ref="A4:D4"/>
    <mergeCell ref="A21:D21"/>
    <mergeCell ref="A29:D29"/>
    <mergeCell ref="A24:D24"/>
    <mergeCell ref="A16:D16"/>
    <mergeCell ref="A32:D3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6" customWidth="1" min="3" max="3"/>
    <col width="16" customWidth="1" min="4" max="4"/>
  </cols>
  <sheetData>
    <row r="1">
      <c r="A1" s="1" t="inlineStr">
        <is>
          <t>单文件 QC 评级分布 — 填写各等级文件数量</t>
        </is>
      </c>
    </row>
    <row r="2">
      <c r="A2" s="2" t="inlineStr">
        <is>
          <t>根据数据质控填写表的评级结果，统计每个等级有多少个文件</t>
        </is>
      </c>
    </row>
    <row r="4">
      <c r="A4" s="8" t="inlineStr">
        <is>
          <t>等级</t>
        </is>
      </c>
      <c r="B4" s="8" t="inlineStr">
        <is>
          <t>定义</t>
        </is>
      </c>
      <c r="C4" s="8" t="inlineStr">
        <is>
          <t>文件数量</t>
        </is>
      </c>
      <c r="D4" s="8" t="inlineStr">
        <is>
          <t>占比</t>
        </is>
      </c>
    </row>
    <row r="5">
      <c r="A5" s="17" t="inlineStr">
        <is>
          <t>1级</t>
        </is>
      </c>
      <c r="B5" s="11" t="inlineStr">
        <is>
          <t>优质</t>
        </is>
      </c>
      <c r="C5" s="12" t="n">
        <v>0</v>
      </c>
      <c r="D5" s="18">
        <f>C5/C9</f>
        <v/>
      </c>
    </row>
    <row r="6">
      <c r="A6" s="19" t="inlineStr">
        <is>
          <t>2级</t>
        </is>
      </c>
      <c r="B6" s="11" t="inlineStr">
        <is>
          <t>合格</t>
        </is>
      </c>
      <c r="C6" s="12" t="n">
        <v>0</v>
      </c>
      <c r="D6" s="18">
        <f>C6/C9</f>
        <v/>
      </c>
    </row>
    <row r="7">
      <c r="A7" s="20" t="inlineStr">
        <is>
          <t>3级</t>
        </is>
      </c>
      <c r="B7" s="11" t="inlineStr">
        <is>
          <t>让步接受</t>
        </is>
      </c>
      <c r="C7" s="12" t="n">
        <v>0</v>
      </c>
      <c r="D7" s="18">
        <f>C7/C9</f>
        <v/>
      </c>
    </row>
    <row r="8">
      <c r="A8" s="21" t="inlineStr">
        <is>
          <t>4级</t>
        </is>
      </c>
      <c r="B8" s="11" t="inlineStr">
        <is>
          <t>不合格</t>
        </is>
      </c>
      <c r="C8" s="12" t="n">
        <v>0</v>
      </c>
      <c r="D8" s="18">
        <f>C8/C9</f>
        <v/>
      </c>
    </row>
    <row r="9">
      <c r="A9" s="22" t="inlineStr">
        <is>
          <t>合计</t>
        </is>
      </c>
      <c r="B9" s="13" t="inlineStr"/>
      <c r="C9" s="23">
        <f>SUM(C4:C7)</f>
        <v/>
      </c>
      <c r="D9" s="18">
        <f>SUM(D4:D7)</f>
        <v/>
      </c>
    </row>
    <row r="11">
      <c r="A11" s="7" t="inlineStr">
        <is>
          <t>▼ 基础质量定级（自动计算）</t>
        </is>
      </c>
    </row>
    <row r="12">
      <c r="A12" s="8" t="inlineStr">
        <is>
          <t>条件</t>
        </is>
      </c>
      <c r="B12" s="8" t="inlineStr">
        <is>
          <t>等级</t>
        </is>
      </c>
      <c r="C12" s="8" t="inlineStr">
        <is>
          <t>判定</t>
        </is>
      </c>
      <c r="D12" s="8" t="inlineStr">
        <is>
          <t>结果</t>
        </is>
      </c>
    </row>
    <row r="13">
      <c r="A13" s="9" t="inlineStr">
        <is>
          <t>A类(优质基线)</t>
        </is>
      </c>
      <c r="B13" s="5" t="inlineStr">
        <is>
          <t>80%以上文件为1级，且总细胞/Spot数&gt;50000</t>
        </is>
      </c>
      <c r="C13" s="10" t="inlineStr">
        <is>
          <t>A</t>
        </is>
      </c>
      <c r="D13" s="12" t="inlineStr"/>
    </row>
    <row r="14">
      <c r="A14" s="9" t="inlineStr">
        <is>
          <t>B类(合格基线)</t>
        </is>
      </c>
      <c r="B14" s="5" t="inlineStr">
        <is>
          <t>80%以上文件≥2级，无4级文件</t>
        </is>
      </c>
      <c r="C14" s="10" t="inlineStr">
        <is>
          <t>B</t>
        </is>
      </c>
      <c r="D14" s="12" t="inlineStr"/>
    </row>
    <row r="15">
      <c r="A15" s="9" t="inlineStr">
        <is>
          <t>C类(风险基线)</t>
        </is>
      </c>
      <c r="B15" s="5" t="inlineStr">
        <is>
          <t>存在4级文件，或20%以上文件为3级</t>
        </is>
      </c>
      <c r="C15" s="10" t="inlineStr">
        <is>
          <t>C</t>
        </is>
      </c>
      <c r="D15" s="12" t="inlineStr"/>
    </row>
    <row r="17">
      <c r="A17" s="3" t="inlineStr">
        <is>
          <t>本项目基础质量等级</t>
        </is>
      </c>
      <c r="B17" s="6" t="inlineStr">
        <is>
          <t>参考上方规则，选择 A/B/C</t>
        </is>
      </c>
      <c r="C17" s="12" t="inlineStr"/>
      <c r="D17" s="11" t="inlineStr"/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30" customWidth="1" min="4" max="4"/>
  </cols>
  <sheetData>
    <row r="1">
      <c r="A1" s="1" t="inlineStr">
        <is>
          <t>综合评级计算 — 填写基础质量和元信息评级后自动得出</t>
        </is>
      </c>
    </row>
    <row r="3">
      <c r="A3" s="2" t="inlineStr">
        <is>
          <t>参考 project_evaluation.md 的评级流程</t>
        </is>
      </c>
    </row>
    <row r="4">
      <c r="A4" s="8" t="inlineStr">
        <is>
          <t>输入项</t>
        </is>
      </c>
      <c r="B4" s="8" t="inlineStr">
        <is>
          <t>填写值</t>
        </is>
      </c>
      <c r="C4" s="8" t="inlineStr">
        <is>
          <t>参考</t>
        </is>
      </c>
      <c r="D4" s="8" t="inlineStr">
        <is>
          <t>说明</t>
        </is>
      </c>
    </row>
    <row r="5">
      <c r="A5" s="3" t="inlineStr">
        <is>
          <t>基础质量等级</t>
        </is>
      </c>
      <c r="B5" s="12" t="inlineStr"/>
      <c r="C5" s="24" t="inlineStr">
        <is>
          <t>A/B/C</t>
        </is>
      </c>
      <c r="D5" s="11" t="inlineStr">
        <is>
          <t>从"单文件QC分布"Sheet 填入</t>
        </is>
      </c>
    </row>
    <row r="6">
      <c r="A6" s="3" t="inlineStr">
        <is>
          <t>元信息评级</t>
        </is>
      </c>
      <c r="B6" s="12" t="inlineStr"/>
      <c r="C6" s="24" t="inlineStr">
        <is>
          <t>优/良/差</t>
        </is>
      </c>
      <c r="D6" s="11" t="inlineStr">
        <is>
          <t>从"元信息完整度自评"Sheet 填入</t>
        </is>
      </c>
    </row>
    <row r="8">
      <c r="A8" s="7" t="inlineStr">
        <is>
          <t>▼ 评级矩阵（参考）</t>
        </is>
      </c>
    </row>
    <row r="9">
      <c r="A9" s="8" t="inlineStr">
        <is>
          <t>基础\元信息</t>
        </is>
      </c>
      <c r="B9" s="8" t="inlineStr">
        <is>
          <t>优</t>
        </is>
      </c>
      <c r="C9" s="8" t="inlineStr">
        <is>
          <t>良</t>
        </is>
      </c>
      <c r="D9" s="8" t="inlineStr">
        <is>
          <t>差</t>
        </is>
      </c>
    </row>
    <row r="10">
      <c r="A10" s="22" t="inlineStr">
        <is>
          <t>A类</t>
        </is>
      </c>
      <c r="B10" s="10" t="inlineStr">
        <is>
          <t>1级</t>
        </is>
      </c>
      <c r="C10" s="10" t="inlineStr">
        <is>
          <t>2级</t>
        </is>
      </c>
      <c r="D10" s="10" t="inlineStr">
        <is>
          <t>4级（一票否决）</t>
        </is>
      </c>
    </row>
    <row r="11">
      <c r="A11" s="22" t="inlineStr">
        <is>
          <t>B类</t>
        </is>
      </c>
      <c r="B11" s="10" t="inlineStr">
        <is>
          <t>2级</t>
        </is>
      </c>
      <c r="C11" s="10" t="inlineStr">
        <is>
          <t>2级</t>
        </is>
      </c>
      <c r="D11" s="10" t="inlineStr">
        <is>
          <t>4级（一票否决）</t>
        </is>
      </c>
    </row>
    <row r="12">
      <c r="A12" s="22" t="inlineStr">
        <is>
          <t>C类</t>
        </is>
      </c>
      <c r="B12" s="10" t="inlineStr">
        <is>
          <t>2级</t>
        </is>
      </c>
      <c r="C12" s="10" t="inlineStr">
        <is>
          <t>3级</t>
        </is>
      </c>
      <c r="D12" s="10" t="inlineStr">
        <is>
          <t>4级（一票否决）</t>
        </is>
      </c>
    </row>
    <row r="15">
      <c r="A15" s="7" t="inlineStr">
        <is>
          <t>▼ 最终评级结果</t>
        </is>
      </c>
    </row>
    <row r="16">
      <c r="A16" s="8" t="inlineStr">
        <is>
          <t>维度</t>
        </is>
      </c>
      <c r="B16" s="8" t="inlineStr">
        <is>
          <t>输入/计算结果</t>
        </is>
      </c>
      <c r="C16" s="8" t="inlineStr">
        <is>
          <t>说明</t>
        </is>
      </c>
      <c r="D16" s="8" t="inlineStr"/>
    </row>
    <row r="17">
      <c r="A17" s="3" t="inlineStr">
        <is>
          <t>基础质量等级</t>
        </is>
      </c>
      <c r="B17" s="14" t="inlineStr"/>
      <c r="C17" s="6" t="inlineStr">
        <is>
          <t>A/B/C</t>
        </is>
      </c>
      <c r="D17" s="11" t="inlineStr"/>
    </row>
    <row r="18">
      <c r="A18" s="3" t="inlineStr">
        <is>
          <t>元信息评级</t>
        </is>
      </c>
      <c r="B18" s="14" t="inlineStr"/>
      <c r="C18" s="6" t="inlineStr">
        <is>
          <t>优/良/差</t>
        </is>
      </c>
      <c r="D18" s="11" t="inlineStr"/>
    </row>
    <row r="19">
      <c r="A19" s="3" t="inlineStr">
        <is>
          <t>综合评级</t>
        </is>
      </c>
      <c r="B19" s="14" t="inlineStr"/>
      <c r="C19" s="6" t="inlineStr">
        <is>
          <t>1级/2级/3级/4级</t>
        </is>
      </c>
      <c r="D19" s="11" t="inlineStr"/>
    </row>
    <row r="20">
      <c r="A20" s="3" t="inlineStr">
        <is>
          <t>判定说明</t>
        </is>
      </c>
      <c r="B20" s="14" t="inlineStr"/>
      <c r="C20" s="6" t="inlineStr"/>
      <c r="D20" s="11" t="inlineStr">
        <is>
          <t>参照评级矩阵交叉得出</t>
        </is>
      </c>
    </row>
  </sheetData>
  <mergeCells count="4">
    <mergeCell ref="A1:D1"/>
    <mergeCell ref="A8:D8"/>
    <mergeCell ref="A3:D3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4" customWidth="1" min="3" max="3"/>
    <col width="10" customWidth="1" min="4" max="4"/>
  </cols>
  <sheetData>
    <row r="1">
      <c r="A1" s="1" t="inlineStr">
        <is>
          <t>评级标准参考 — 填写前请阅读</t>
        </is>
      </c>
    </row>
    <row r="3">
      <c r="A3" s="7" t="inlineStr">
        <is>
          <t>▼ 元信息完整度评级</t>
        </is>
      </c>
    </row>
    <row r="4">
      <c r="A4" s="8" t="inlineStr">
        <is>
          <t>评级</t>
        </is>
      </c>
      <c r="B4" s="8" t="inlineStr">
        <is>
          <t>判定条件</t>
        </is>
      </c>
      <c r="C4" s="8" t="inlineStr">
        <is>
          <t>业务解释</t>
        </is>
      </c>
      <c r="D4" s="8" t="inlineStr"/>
    </row>
    <row r="5">
      <c r="A5" s="17" t="inlineStr">
        <is>
          <t>优</t>
        </is>
      </c>
      <c r="B5" s="11" t="inlineStr">
        <is>
          <t>核心完整度=100% 且 辅助完整度≥70%</t>
        </is>
      </c>
      <c r="C5" s="11" t="inlineStr">
        <is>
          <t>精品数据，可直接用于深度分析或模型训练</t>
        </is>
      </c>
      <c r="D5" s="11" t="inlineStr"/>
    </row>
    <row r="6">
      <c r="A6" s="19" t="inlineStr">
        <is>
          <t>良</t>
        </is>
      </c>
      <c r="B6" s="11" t="inlineStr">
        <is>
          <t>核心完整度≥50% 但 辅助完整度&lt;70%</t>
        </is>
      </c>
      <c r="C6" s="11" t="inlineStr">
        <is>
          <t>基础可用，适合先收进来再补充</t>
        </is>
      </c>
      <c r="D6" s="11" t="inlineStr"/>
    </row>
    <row r="7">
      <c r="A7" s="20" t="inlineStr">
        <is>
          <t>差</t>
        </is>
      </c>
      <c r="B7" s="11" t="inlineStr">
        <is>
          <t>核心完整度&lt;50%（5个核心缺3个及以上）</t>
        </is>
      </c>
      <c r="C7" s="11" t="inlineStr">
        <is>
          <t>直接否决，毫无生物学价值，不予归档</t>
        </is>
      </c>
      <c r="D7" s="11" t="inlineStr"/>
    </row>
    <row r="9">
      <c r="A9" s="7" t="inlineStr">
        <is>
          <t>▼ 基础质量定级</t>
        </is>
      </c>
    </row>
    <row r="10">
      <c r="A10" s="8" t="inlineStr">
        <is>
          <t>等级</t>
        </is>
      </c>
      <c r="B10" s="8" t="inlineStr">
        <is>
          <t>判定条件</t>
        </is>
      </c>
      <c r="C10" s="8" t="inlineStr"/>
      <c r="D10" s="8" t="inlineStr"/>
    </row>
    <row r="11">
      <c r="A11" s="9" t="inlineStr">
        <is>
          <t>A类（优质基线）</t>
        </is>
      </c>
      <c r="B11" s="5" t="inlineStr">
        <is>
          <t>80%以上单文件为1级，且项目总细胞/Spot数&gt;50000</t>
        </is>
      </c>
      <c r="C11" s="11" t="inlineStr"/>
      <c r="D11" s="11" t="inlineStr"/>
    </row>
    <row r="12">
      <c r="A12" s="9" t="inlineStr">
        <is>
          <t>B类（合格基线）</t>
        </is>
      </c>
      <c r="B12" s="5" t="inlineStr">
        <is>
          <t>80%以上单文件为2级及以上，无4级文件</t>
        </is>
      </c>
      <c r="C12" s="11" t="inlineStr"/>
      <c r="D12" s="11" t="inlineStr"/>
    </row>
    <row r="13">
      <c r="A13" s="9" t="inlineStr">
        <is>
          <t>C类（风险基线）</t>
        </is>
      </c>
      <c r="B13" s="5" t="inlineStr">
        <is>
          <t>存在4级文件，或20%以上单文件为3级</t>
        </is>
      </c>
      <c r="C13" s="11" t="inlineStr"/>
      <c r="D13" s="11" t="inlineStr"/>
    </row>
    <row r="15">
      <c r="A15" s="7" t="inlineStr">
        <is>
          <t>▼ 最终综合评级</t>
        </is>
      </c>
    </row>
    <row r="16">
      <c r="A16" s="8" t="inlineStr">
        <is>
          <t>最终等级</t>
        </is>
      </c>
      <c r="B16" s="8" t="inlineStr">
        <is>
          <t>定义</t>
        </is>
      </c>
      <c r="C16" s="8" t="inlineStr">
        <is>
          <t>评判标准</t>
        </is>
      </c>
      <c r="D16" s="8" t="inlineStr"/>
    </row>
    <row r="17">
      <c r="A17" s="25" t="inlineStr">
        <is>
          <t>1级</t>
        </is>
      </c>
      <c r="B17" s="9" t="inlineStr">
        <is>
          <t>优质</t>
        </is>
      </c>
      <c r="C17" s="11" t="inlineStr">
        <is>
          <t>基础=A类 且 元信息=优。数据质量极佳且信息完备</t>
        </is>
      </c>
      <c r="D17" s="11" t="inlineStr"/>
    </row>
    <row r="18">
      <c r="A18" s="26" t="inlineStr">
        <is>
          <t>2级</t>
        </is>
      </c>
      <c r="B18" s="9" t="inlineStr">
        <is>
          <t>合格</t>
        </is>
      </c>
      <c r="C18" s="11" t="inlineStr">
        <is>
          <t>基础=A/B类+元信息=良，或 基础=C类+元信息=优</t>
        </is>
      </c>
      <c r="D18" s="11" t="inlineStr"/>
    </row>
    <row r="19">
      <c r="A19" s="27" t="inlineStr">
        <is>
          <t>3级</t>
        </is>
      </c>
      <c r="B19" s="9" t="inlineStr">
        <is>
          <t>让步接受</t>
        </is>
      </c>
      <c r="C19" s="11" t="inlineStr">
        <is>
          <t>基础=C类 且 元信息=良。数据可用性受限</t>
        </is>
      </c>
      <c r="D19" s="11" t="inlineStr"/>
    </row>
    <row r="20">
      <c r="A20" s="28" t="inlineStr">
        <is>
          <t>4级</t>
        </is>
      </c>
      <c r="B20" s="9" t="inlineStr">
        <is>
          <t>不合格</t>
        </is>
      </c>
      <c r="C20" s="11" t="inlineStr">
        <is>
          <t>元信息=差（一票否决），无论基础质量如何</t>
        </is>
      </c>
      <c r="D20" s="11" t="inlineStr"/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2026-06-01T03:29:35Z</dcterms:created>
  <dcterms:modified xmlns:dcterms="http://purl.org/dc/terms/" xmlns:xsi="http://www.w3.org/2001/XMLSchema-instance" xsi:type="dcterms:W3CDTF">2026-06-01T03:29:35Z</dcterms:modified>
</cp:coreProperties>
</file>